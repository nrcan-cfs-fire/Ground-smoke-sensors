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homp\Documents\DRDC-smoke\"/>
    </mc:Choice>
  </mc:AlternateContent>
  <xr:revisionPtr revIDLastSave="0" documentId="13_ncr:1_{3F3CEDFF-0A45-4394-8629-115312F671B1}" xr6:coauthVersionLast="47" xr6:coauthVersionMax="47" xr10:uidLastSave="{00000000-0000-0000-0000-000000000000}"/>
  <bookViews>
    <workbookView xWindow="-108" yWindow="-108" windowWidth="30936" windowHeight="16776" xr2:uid="{D1760ECC-0941-41D2-A23A-F4907C50B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C10" i="1"/>
  <c r="C9" i="1"/>
  <c r="C8" i="1"/>
  <c r="C7" i="1"/>
  <c r="C4" i="1"/>
  <c r="C6" i="1"/>
  <c r="C3" i="1"/>
  <c r="C5" i="1"/>
  <c r="F4" i="1"/>
</calcChain>
</file>

<file path=xl/sharedStrings.xml><?xml version="1.0" encoding="utf-8"?>
<sst xmlns="http://schemas.openxmlformats.org/spreadsheetml/2006/main" count="20" uniqueCount="20">
  <si>
    <t>No detections</t>
  </si>
  <si>
    <t>Smoke sensors only</t>
  </si>
  <si>
    <t>Count</t>
  </si>
  <si>
    <t>Frequency</t>
  </si>
  <si>
    <t>list of fire sizes</t>
  </si>
  <si>
    <t>Smoke + VIIRS + GOES</t>
  </si>
  <si>
    <t>VIIRS only</t>
  </si>
  <si>
    <t>VIIRS + GOES only</t>
  </si>
  <si>
    <t>GOES only</t>
  </si>
  <si>
    <t>List of firenames</t>
  </si>
  <si>
    <t>WR-13; WR-11; WR-05; WR-02; WR-03; WR-10; WR-01; WR-04; WR-06</t>
  </si>
  <si>
    <t>Median fire size of group</t>
  </si>
  <si>
    <t>WR-07</t>
  </si>
  <si>
    <t>WR-15; WR-09; WR-08; WR-16; VC-01; VC-02; VC-03</t>
  </si>
  <si>
    <t>Smoke + GOES (no VIIRS)</t>
  </si>
  <si>
    <t>Smoke + VIIRS (no GOES)</t>
  </si>
  <si>
    <t>WR-14; WR-12; RC-01</t>
  </si>
  <si>
    <t>600,250,150,75,75,75,6</t>
  </si>
  <si>
    <t>550, 375, 75</t>
  </si>
  <si>
    <t>1, 1, 0.6, 0.25, 0.2, 0.05, 0.03, 0.02, 0.01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</si>
</sst>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025F-7034-4843-AA78-F926E25F2BCC}">
  <dimension ref="A2:F10"/>
  <sheetViews>
    <sheetView tabSelected="1" workbookViewId="0">
      <selection activeCell="A6" sqref="A6:F6"/>
    </sheetView>
  </sheetViews>
  <sheetFormatPr defaultRowHeight="14.4" x14ac:dyDescent="0.3"/>
  <cols>
    <col min="1" max="1" width="20.88671875" bestFit="1" customWidth="1"/>
    <col min="3" max="3" width="9.44140625" bestFit="1" customWidth="1"/>
    <col min="4" max="4" width="58.44140625" bestFit="1" customWidth="1"/>
    <col min="5" max="5" width="33.6640625" bestFit="1" customWidth="1"/>
  </cols>
  <sheetData>
    <row r="2" spans="1:6" x14ac:dyDescent="0.3">
      <c r="B2" t="s">
        <v>2</v>
      </c>
      <c r="C2" t="s">
        <v>3</v>
      </c>
      <c r="D2" t="s">
        <v>9</v>
      </c>
      <c r="E2" t="s">
        <v>4</v>
      </c>
      <c r="F2" t="s">
        <v>11</v>
      </c>
    </row>
    <row r="3" spans="1:6" x14ac:dyDescent="0.3">
      <c r="A3" t="s">
        <v>0</v>
      </c>
      <c r="B3">
        <v>9</v>
      </c>
      <c r="C3" s="1">
        <f t="shared" ref="C3:C5" si="0">B3/SUM(B$3:B$10)</f>
        <v>0.45</v>
      </c>
      <c r="D3" t="s">
        <v>10</v>
      </c>
      <c r="E3" t="s">
        <v>19</v>
      </c>
      <c r="F3">
        <f>MEDIAN(1, 1, 0.6, 0.25, 0.2, 0.05, 0.03, 0.02, 0.01)</f>
        <v>0.2</v>
      </c>
    </row>
    <row r="4" spans="1:6" x14ac:dyDescent="0.3">
      <c r="A4" t="s">
        <v>15</v>
      </c>
      <c r="B4">
        <v>7</v>
      </c>
      <c r="C4" s="1">
        <f>B4/SUM(B$3:B$10)</f>
        <v>0.35</v>
      </c>
      <c r="D4" t="s">
        <v>13</v>
      </c>
      <c r="E4" t="s">
        <v>17</v>
      </c>
      <c r="F4">
        <f>MEDIAN(600,250,150,75,75,75,6)</f>
        <v>75</v>
      </c>
    </row>
    <row r="5" spans="1:6" x14ac:dyDescent="0.3">
      <c r="A5" t="s">
        <v>5</v>
      </c>
      <c r="B5">
        <v>3</v>
      </c>
      <c r="C5" s="1">
        <f>B5/SUM(B$3:B$10)</f>
        <v>0.15</v>
      </c>
      <c r="D5" t="s">
        <v>16</v>
      </c>
      <c r="E5" t="s">
        <v>18</v>
      </c>
      <c r="F5">
        <f>MEDIAN(550, 375, 75)</f>
        <v>375</v>
      </c>
    </row>
    <row r="6" spans="1:6" x14ac:dyDescent="0.3">
      <c r="A6" t="s">
        <v>1</v>
      </c>
      <c r="B6">
        <v>1</v>
      </c>
      <c r="C6" s="1">
        <f>B6/SUM(B$3:B$10)</f>
        <v>0.05</v>
      </c>
      <c r="D6" t="s">
        <v>12</v>
      </c>
      <c r="E6">
        <v>0.28000000000000003</v>
      </c>
      <c r="F6">
        <v>0.28000000000000003</v>
      </c>
    </row>
    <row r="7" spans="1:6" x14ac:dyDescent="0.3">
      <c r="A7" t="s">
        <v>14</v>
      </c>
      <c r="B7">
        <v>0</v>
      </c>
      <c r="C7" s="1">
        <f t="shared" ref="C7:C10" si="1">B7/SUM(B$3:B$10)</f>
        <v>0</v>
      </c>
    </row>
    <row r="8" spans="1:6" x14ac:dyDescent="0.3">
      <c r="A8" t="s">
        <v>7</v>
      </c>
      <c r="B8">
        <v>0</v>
      </c>
      <c r="C8" s="1">
        <f t="shared" si="1"/>
        <v>0</v>
      </c>
    </row>
    <row r="9" spans="1:6" x14ac:dyDescent="0.3">
      <c r="A9" t="s">
        <v>6</v>
      </c>
      <c r="B9">
        <v>0</v>
      </c>
      <c r="C9" s="1">
        <f t="shared" si="1"/>
        <v>0</v>
      </c>
    </row>
    <row r="10" spans="1:6" x14ac:dyDescent="0.3">
      <c r="A10" t="s">
        <v>8</v>
      </c>
      <c r="B10">
        <v>0</v>
      </c>
      <c r="C10" s="1">
        <f t="shared" si="1"/>
        <v>0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Daniel (he, him | il, lui)</dc:creator>
  <cp:lastModifiedBy>Thompson, Daniel (he, him | il, lui)</cp:lastModifiedBy>
  <dcterms:created xsi:type="dcterms:W3CDTF">2025-11-24T16:04:27Z</dcterms:created>
  <dcterms:modified xsi:type="dcterms:W3CDTF">2025-11-24T18:12:39Z</dcterms:modified>
</cp:coreProperties>
</file>