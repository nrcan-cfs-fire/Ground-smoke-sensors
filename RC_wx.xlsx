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ckson.P2\Downloads\"/>
    </mc:Choice>
  </mc:AlternateContent>
  <xr:revisionPtr revIDLastSave="0" documentId="13_ncr:1_{8518D581-4B11-40CE-A1C1-7E7F9084DF7B}" xr6:coauthVersionLast="47" xr6:coauthVersionMax="47" xr10:uidLastSave="{00000000-0000-0000-0000-000000000000}"/>
  <bookViews>
    <workbookView xWindow="-120" yWindow="-120" windowWidth="29040" windowHeight="15840" xr2:uid="{7666D8E1-F152-4B99-8C48-B7DEED91BCEC}"/>
  </bookViews>
  <sheets>
    <sheet name="Main" sheetId="1" r:id="rId1"/>
    <sheet name="Compass Converter" sheetId="2" r:id="rId2"/>
    <sheet name="Weather Full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3" l="1"/>
  <c r="G3" i="3"/>
  <c r="G4" i="3"/>
  <c r="G5" i="3"/>
  <c r="G6" i="3"/>
  <c r="G7" i="3"/>
  <c r="G8" i="3"/>
  <c r="G9" i="3"/>
  <c r="G10" i="3"/>
  <c r="G11" i="3"/>
  <c r="B3" i="2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X3" i="1"/>
  <c r="R3" i="1"/>
  <c r="L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tc={EBF9D81A-3A39-4C2D-8BB4-BD16E363B767}</author>
    <author>tc={48672BE0-9294-436A-8CF9-7AAA9D97821F}</author>
    <author>tc={58749DAE-C0AE-4885-8151-2E4D90F548A4}</author>
    <author>tc={EF61D3B8-6C4A-44AB-800A-0FFDB63607E8}</author>
    <author>tc={680155FA-46C0-4D28-BDE3-03006824C21F}</author>
  </authors>
  <commentList>
    <comment ref="L1" authorId="0" shapeId="0" xr:uid="{EBF9D81A-3A39-4C2D-8BB4-BD16E363B767}">
      <text>
        <t>[Threaded comment]
Your version of Excel allows you to read this threaded comment; however, any edits to it will get removed if the file is opened in a newer version of Excel. Learn more: https://go.microsoft.com/fwlink/?linkid=870924
Comment:
    Rounded every time to the nearest hour following typical rounding rules for starting hour.</t>
      </text>
    </comment>
    <comment ref="B2" authorId="1" shapeId="0" xr:uid="{48672BE0-9294-436A-8CF9-7AAA9D97821F}">
      <text>
        <t>[Threaded comment]
Your version of Excel allows you to read this threaded comment; however, any edits to it will get removed if the file is opened in a newer version of Excel. Learn more: https://go.microsoft.com/fwlink/?linkid=870924
Comment:
    Approximate locations from total fire areas, no actual listed start lat long</t>
      </text>
    </comment>
    <comment ref="N2" authorId="2" shapeId="0" xr:uid="{58749DAE-C0AE-4885-8151-2E4D90F548A4}">
      <text>
        <t>[Threaded comment]
Your version of Excel allows you to read this threaded comment; however, any edits to it will get removed if the file is opened in a newer version of Excel. Learn more: https://go.microsoft.com/fwlink/?linkid=870924
Comment:
    At 10m from ground</t>
      </text>
    </comment>
    <comment ref="F3" authorId="3" shapeId="0" xr:uid="{EF61D3B8-6C4A-44AB-800A-0FFDB63607E8}">
      <text>
        <t>[Threaded comment]
Your version of Excel allows you to read this threaded comment; however, any edits to it will get removed if the file is opened in a newer version of Excel. Learn more: https://go.microsoft.com/fwlink/?linkid=870924
Comment:
    Unsure of this, might want to check with BC People</t>
      </text>
    </comment>
    <comment ref="G3" authorId="4" shapeId="0" xr:uid="{680155FA-46C0-4D28-BDE3-03006824C21F}">
      <text>
        <t>[Threaded comment]
Your version of Excel allows you to read this threaded comment; however, any edits to it will get removed if the file is opened in a newer version of Excel. Learn more: https://go.microsoft.com/fwlink/?linkid=870924
Comment:
    Size of the targeted burn area, not sure if it actually reached this size</t>
      </text>
    </comment>
  </commentList>
</comments>
</file>

<file path=xl/sharedStrings.xml><?xml version="1.0" encoding="utf-8"?>
<sst xmlns="http://schemas.openxmlformats.org/spreadsheetml/2006/main" count="90" uniqueCount="76">
  <si>
    <t>From N5 Sensors</t>
  </si>
  <si>
    <t>Hour 1</t>
  </si>
  <si>
    <t>Hour 2</t>
  </si>
  <si>
    <t>Hour 3</t>
  </si>
  <si>
    <t>Fire Name</t>
  </si>
  <si>
    <t>Origin Lat</t>
  </si>
  <si>
    <t>Origin Long</t>
  </si>
  <si>
    <t>Reported Ingition Time</t>
  </si>
  <si>
    <t>Fuels</t>
  </si>
  <si>
    <t>Reported final Area (Hec)</t>
  </si>
  <si>
    <t>First Warning</t>
  </si>
  <si>
    <t>Warning Sensor</t>
  </si>
  <si>
    <t>First Alert</t>
  </si>
  <si>
    <t>Alert Sensor</t>
  </si>
  <si>
    <t>Rounded Time 1</t>
  </si>
  <si>
    <t>Wind Speed 1 (km/h)</t>
  </si>
  <si>
    <t>Wind Direction 1 (deg)</t>
  </si>
  <si>
    <t>Relative Humidity 1</t>
  </si>
  <si>
    <t>Temperature 1 (°C)</t>
  </si>
  <si>
    <t>Precipitation 1</t>
  </si>
  <si>
    <t>Rounded Time 2</t>
  </si>
  <si>
    <t>Wind Speed 2 (km/h)</t>
  </si>
  <si>
    <t>Wind Direction 2 (deg)</t>
  </si>
  <si>
    <t>Relative Humidity 2</t>
  </si>
  <si>
    <t>Temperature 2 (°C)</t>
  </si>
  <si>
    <t>Precipitation 2</t>
  </si>
  <si>
    <t>Rounded Time 3</t>
  </si>
  <si>
    <t>Wind Speed 3 (km/h)</t>
  </si>
  <si>
    <t>Wind Direction 3 (deg)</t>
  </si>
  <si>
    <t>Relative Humidity 3</t>
  </si>
  <si>
    <t>Temperature 3 (°C)</t>
  </si>
  <si>
    <t>Precipitation 3</t>
  </si>
  <si>
    <t>BC_01</t>
  </si>
  <si>
    <t>Reported End Time</t>
  </si>
  <si>
    <t>From BC Wildfire</t>
  </si>
  <si>
    <t>Grass/Shrub/Small Trees</t>
  </si>
  <si>
    <t>String</t>
  </si>
  <si>
    <t>Direction</t>
  </si>
  <si>
    <t>N</t>
  </si>
  <si>
    <t>NNE</t>
  </si>
  <si>
    <t>NE</t>
  </si>
  <si>
    <t>ENE</t>
  </si>
  <si>
    <t>E</t>
  </si>
  <si>
    <t>ESE</t>
  </si>
  <si>
    <t>SE</t>
  </si>
  <si>
    <t>SSE</t>
  </si>
  <si>
    <t>S</t>
  </si>
  <si>
    <t>SSW</t>
  </si>
  <si>
    <t>SW</t>
  </si>
  <si>
    <t>WSW</t>
  </si>
  <si>
    <t>W</t>
  </si>
  <si>
    <t>WNW</t>
  </si>
  <si>
    <t>NW</t>
  </si>
  <si>
    <t>NNW</t>
  </si>
  <si>
    <t>Time</t>
  </si>
  <si>
    <t>Location</t>
  </si>
  <si>
    <t>Temp (C)</t>
  </si>
  <si>
    <t>RH (%)</t>
  </si>
  <si>
    <t>Wind Speed (kph)</t>
  </si>
  <si>
    <t>Wind Direction</t>
  </si>
  <si>
    <t>Gusts</t>
  </si>
  <si>
    <t>Cloud Cover (%)</t>
  </si>
  <si>
    <t>Staging</t>
  </si>
  <si>
    <t>Calm</t>
  </si>
  <si>
    <t>-</t>
  </si>
  <si>
    <t>DPC4</t>
  </si>
  <si>
    <t>DPA5</t>
  </si>
  <si>
    <t>DPA5-west</t>
  </si>
  <si>
    <t>DPA5-East/ridge</t>
  </si>
  <si>
    <t>6/13.5 (ridge)</t>
  </si>
  <si>
    <t>10.5/24 (ridge)</t>
  </si>
  <si>
    <t>DPA4</t>
  </si>
  <si>
    <t>DPD3</t>
  </si>
  <si>
    <t>FN_02</t>
  </si>
  <si>
    <t>CB_03</t>
  </si>
  <si>
    <t>Wind Dir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</si>
</sst>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22" fontId="0" fillId="0" borderId="0" xfId="0" applyNumberFormat="1"/>
    <xf numFmtId="9" fontId="0" fillId="0" borderId="0" xfId="0" applyNumberFormat="1"/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6" xfId="0" applyFill="1" applyBorder="1" applyAlignment="1">
      <alignment horizontal="center"/>
    </xf>
  </cellXfs>
  <cellStyles count="1">
    <cellStyle name="Normal" xfId="0" builtinId="0"/>
  </cellStyles>
  <dxfs count="7">
    <dxf>
      <numFmt numFmtId="27" formatCode="yyyy/mm/dd\ h:mm"/>
    </dxf>
    <dxf>
      <numFmt numFmtId="13" formatCode="0%"/>
    </dxf>
    <dxf>
      <numFmt numFmtId="0" formatCode="General"/>
    </dxf>
    <dxf>
      <numFmt numFmtId="0" formatCode="General"/>
    </dxf>
    <dxf>
      <numFmt numFmtId="27" formatCode="yyyy/mm/dd\ h:mm"/>
    </dxf>
    <dxf>
      <numFmt numFmtId="27" formatCode="yyyy/mm/dd\ h:mm"/>
    </dxf>
    <dxf>
      <numFmt numFmtId="27" formatCode="yyyy/mm/dd\ 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Jackson P@ADM(DRDC) DRDSS@Defence365" id="{DAE26403-4683-49C9-9C71-66907549CBE2}" userId="S::Patrick.Jackson@ecn.forces.gc.ca::3379e77d-60fb-4732-8bd8-40edcb3ea549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3B841F9-975C-43E1-8F1E-34804E90927F}" name="Table1" displayName="Table1" ref="A2:AC3" totalsRowShown="0">
  <autoFilter ref="A2:AC3" xr:uid="{93B841F9-975C-43E1-8F1E-34804E90927F}"/>
  <tableColumns count="29">
    <tableColumn id="1" xr3:uid="{39AB4239-B00B-4E83-8C47-16C0650EDB75}" name="Fire Name"/>
    <tableColumn id="2" xr3:uid="{91E78177-481F-4650-9EF2-B74451FB63F8}" name="Origin Lat"/>
    <tableColumn id="3" xr3:uid="{5138F235-9EC0-49F0-A252-DF2F17C36DB8}" name="Origin Long"/>
    <tableColumn id="4" xr3:uid="{18A90E5F-D024-4299-9E2F-83C91243CF32}" name="Reported Ingition Time"/>
    <tableColumn id="29" xr3:uid="{C613B02A-F3BC-4EA4-AB0B-845A58281185}" name="Reported End Time"/>
    <tableColumn id="5" xr3:uid="{C5C1D955-2270-49C2-9BBC-F37CC7FA8A54}" name="Fuels"/>
    <tableColumn id="6" xr3:uid="{9BD0DFDD-D153-41F1-A2B7-5BA5817E6649}" name="Reported final Area (Hec)"/>
    <tableColumn id="7" xr3:uid="{F6D90875-22C7-48CF-9FB1-BA09F6D333A4}" name="First Warning" dataDxfId="0"/>
    <tableColumn id="8" xr3:uid="{3AD58E06-3B33-4211-81D4-6C4DABBDAFD6}" name="Warning Sensor"/>
    <tableColumn id="9" xr3:uid="{89336427-1A1B-48A7-BF37-BDB326F060D0}" name="First Alert"/>
    <tableColumn id="10" xr3:uid="{A8C6A303-37D3-4B6C-AE47-7328CD7D76D9}" name="Alert Sensor"/>
    <tableColumn id="11" xr3:uid="{FD70CBBC-5890-4B58-BEBF-E258018D1812}" name="Rounded Time 1" dataDxfId="6">
      <calculatedColumnFormula>MROUND(Table1[[#This Row],[Reported Ingition Time]],"1:00")</calculatedColumnFormula>
    </tableColumn>
    <tableColumn id="12" xr3:uid="{51E9571B-8DC8-4E89-8F25-11AAD3B5A079}" name="Wind Speed 1 (km/h)"/>
    <tableColumn id="13" xr3:uid="{ED2D8ED7-28AC-4E38-B1EE-77E44B7AB813}" name="Wind Direction 1 (deg)"/>
    <tableColumn id="14" xr3:uid="{E0DD40C1-27A5-4C6B-B2FA-D3805311EF9E}" name="Relative Humidity 1"/>
    <tableColumn id="15" xr3:uid="{41FF2889-1D38-4A28-97AC-451921020024}" name="Temperature 1 (°C)"/>
    <tableColumn id="16" xr3:uid="{6E6737CC-8414-4C1E-B013-EFC9B724E60A}" name="Precipitation 1"/>
    <tableColumn id="17" xr3:uid="{792E4583-1AE0-4759-92ED-7B9AB906CB7C}" name="Rounded Time 2" dataDxfId="5">
      <calculatedColumnFormula>Table1[[#This Row],[Rounded Time 1]]+TIME(1,0,0)</calculatedColumnFormula>
    </tableColumn>
    <tableColumn id="18" xr3:uid="{61F43381-C55B-4E4A-961B-0CB67C008F54}" name="Wind Speed 2 (km/h)"/>
    <tableColumn id="19" xr3:uid="{9B61601B-68F7-4096-8130-3E19CDF232C8}" name="Wind Direction 2 (deg)"/>
    <tableColumn id="20" xr3:uid="{40E66908-3BAD-4AEA-9DDB-41984E8D0F66}" name="Relative Humidity 2"/>
    <tableColumn id="21" xr3:uid="{05DF11F6-00EA-4385-88FA-98F9E545A3DC}" name="Temperature 2 (°C)"/>
    <tableColumn id="22" xr3:uid="{D61AE8EB-4431-45CF-8918-36B4F9CD451E}" name="Precipitation 2"/>
    <tableColumn id="23" xr3:uid="{3912E631-A2FB-404F-A2D0-F1B2226356C2}" name="Rounded Time 3" dataDxfId="4">
      <calculatedColumnFormula>Table1[[#This Row],[Rounded Time 2]]+TIME(1,0,0)</calculatedColumnFormula>
    </tableColumn>
    <tableColumn id="24" xr3:uid="{988415CB-7F9D-40B9-8105-34D46CEADA12}" name="Wind Speed 3 (km/h)"/>
    <tableColumn id="25" xr3:uid="{105F8E01-3118-4188-A074-EB1AA448A784}" name="Wind Direction 3 (deg)"/>
    <tableColumn id="26" xr3:uid="{B6D3A9A1-9154-44FC-99F3-3FD5E4D49300}" name="Relative Humidity 3"/>
    <tableColumn id="27" xr3:uid="{176606A6-5FCF-41AF-9956-982C14405CED}" name="Temperature 3 (°C)"/>
    <tableColumn id="28" xr3:uid="{22B54057-8940-4412-A45A-D8CC66D0A379}" name="Precipitation 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38D72DD-FD30-4AD4-8B61-F9F1AA7A4EFF}" name="Table2" displayName="Table2" ref="A1:B17" totalsRowShown="0">
  <autoFilter ref="A1:B17" xr:uid="{238D72DD-FD30-4AD4-8B61-F9F1AA7A4EFF}"/>
  <tableColumns count="2">
    <tableColumn id="1" xr3:uid="{30F5480B-E416-467A-9E55-DF26DAFCBCF7}" name="String"/>
    <tableColumn id="2" xr3:uid="{39EAB577-9B10-4CE4-BCD2-72D56C48FF35}" name="Direction" dataDxfId="3">
      <calculatedColumnFormula>B1+22.5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F1DF32B-7AD5-4E72-8901-7F85E8012AA6}" name="Table3" displayName="Table3" ref="A1:I11" totalsRowShown="0">
  <autoFilter ref="A1:I11" xr:uid="{8F1DF32B-7AD5-4E72-8901-7F85E8012AA6}"/>
  <tableColumns count="9">
    <tableColumn id="1" xr3:uid="{3B0DE2A6-B532-43AF-BB77-DA334A56A702}" name="Time"/>
    <tableColumn id="2" xr3:uid="{DCF3B951-B476-4FA9-A717-7D85D506A99D}" name="Location"/>
    <tableColumn id="3" xr3:uid="{6DC5E5CC-052E-494C-A374-2BC890391122}" name="Temp (C)"/>
    <tableColumn id="4" xr3:uid="{F7C00CED-FC51-415C-B4F3-75339897D1EC}" name="RH (%)"/>
    <tableColumn id="5" xr3:uid="{E4F4EFAB-507D-4769-B29B-995477E7AFA6}" name="Wind Speed (kph)"/>
    <tableColumn id="6" xr3:uid="{9D882519-077C-4FFF-87AA-6F4C9E8DEDDF}" name="Wind Direction"/>
    <tableColumn id="9" xr3:uid="{5B1E3A67-19B9-4C16-BEDA-5EA8DBE2A32A}" name="Wind Dir" dataDxfId="2">
      <calculatedColumnFormula>VLOOKUP(Table3[[#This Row],[Wind Direction]],Table2[],2,FALSE)</calculatedColumnFormula>
    </tableColumn>
    <tableColumn id="7" xr3:uid="{1FC2C717-83C3-4E4A-A319-CDDF0FFAE9FF}" name="Gusts"/>
    <tableColumn id="8" xr3:uid="{95F5B519-5CC5-4A6A-8226-A98B56E7388D}" name="Cloud Cover (%)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L1" dT="2024-06-28T18:38:14.50" personId="{DAE26403-4683-49C9-9C71-66907549CBE2}" id="{EBF9D81A-3A39-4C2D-8BB4-BD16E363B767}">
    <text>Rounded every time to the nearest hour following typical rounding rules for starting hour.</text>
  </threadedComment>
  <threadedComment ref="B2" dT="2024-06-26T13:59:27.49" personId="{DAE26403-4683-49C9-9C71-66907549CBE2}" id="{48672BE0-9294-436A-8CF9-7AAA9D97821F}">
    <text>Approximate locations from total fire areas, no actual listed start lat long</text>
  </threadedComment>
  <threadedComment ref="N2" dT="2024-06-28T14:26:00.52" personId="{DAE26403-4683-49C9-9C71-66907549CBE2}" id="{58749DAE-C0AE-4885-8151-2E4D90F548A4}">
    <text>At 10m from ground</text>
  </threadedComment>
  <threadedComment ref="F3" dT="2024-11-05T14:42:15.41" personId="{DAE26403-4683-49C9-9C71-66907549CBE2}" id="{EF61D3B8-6C4A-44AB-800A-0FFDB63607E8}">
    <text>Unsure of this, might want to check with BC People</text>
  </threadedComment>
  <threadedComment ref="G3" dT="2024-11-05T14:43:55.70" personId="{DAE26403-4683-49C9-9C71-66907549CBE2}" id="{680155FA-46C0-4D28-BDE3-03006824C21F}">
    <text>Size of the targeted burn area, not sure if it actually reached this size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D9E62D-E3DF-4928-A834-FE264E626B50}">
  <dimension ref="A1:AC3"/>
  <sheetViews>
    <sheetView tabSelected="1" workbookViewId="0">
      <selection activeCell="H9" sqref="H9"/>
    </sheetView>
  </sheetViews>
  <sheetFormatPr defaultRowHeight="15" x14ac:dyDescent="0.25"/>
  <cols>
    <col min="1" max="1" width="12.28515625" customWidth="1"/>
    <col min="2" max="2" width="11.7109375" customWidth="1"/>
    <col min="3" max="3" width="13.28515625" customWidth="1"/>
    <col min="4" max="5" width="23.7109375" customWidth="1"/>
    <col min="6" max="6" width="23.28515625" bestFit="1" customWidth="1"/>
    <col min="7" max="7" width="25.85546875" customWidth="1"/>
    <col min="8" max="8" width="15.5703125" bestFit="1" customWidth="1"/>
    <col min="9" max="9" width="17.28515625" customWidth="1"/>
    <col min="10" max="10" width="15.5703125" bestFit="1" customWidth="1"/>
    <col min="11" max="11" width="14.140625" customWidth="1"/>
    <col min="12" max="12" width="17.5703125" customWidth="1"/>
    <col min="13" max="13" width="21.85546875" customWidth="1"/>
    <col min="14" max="14" width="23.28515625" customWidth="1"/>
    <col min="15" max="15" width="20.7109375" customWidth="1"/>
    <col min="16" max="16" width="20.28515625" customWidth="1"/>
    <col min="17" max="17" width="16.140625" customWidth="1"/>
    <col min="18" max="18" width="17.5703125" customWidth="1"/>
    <col min="19" max="19" width="21.85546875" customWidth="1"/>
    <col min="20" max="20" width="23.28515625" customWidth="1"/>
    <col min="21" max="21" width="20.7109375" customWidth="1"/>
    <col min="22" max="22" width="20.28515625" customWidth="1"/>
    <col min="23" max="23" width="16.140625" customWidth="1"/>
    <col min="24" max="24" width="17.5703125" customWidth="1"/>
    <col min="25" max="25" width="21.85546875" customWidth="1"/>
    <col min="26" max="26" width="23.28515625" customWidth="1"/>
    <col min="27" max="27" width="20.7109375" customWidth="1"/>
    <col min="28" max="28" width="20.28515625" customWidth="1"/>
    <col min="29" max="29" width="16.140625" customWidth="1"/>
  </cols>
  <sheetData>
    <row r="1" spans="1:29" x14ac:dyDescent="0.25">
      <c r="A1" s="3" t="s">
        <v>34</v>
      </c>
      <c r="B1" s="3"/>
      <c r="C1" s="3"/>
      <c r="D1" s="3"/>
      <c r="E1" s="3"/>
      <c r="F1" s="3"/>
      <c r="G1" s="3"/>
      <c r="H1" s="3" t="s">
        <v>0</v>
      </c>
      <c r="I1" s="3"/>
      <c r="J1" s="3"/>
      <c r="K1" s="3"/>
      <c r="L1" s="4" t="s">
        <v>1</v>
      </c>
      <c r="M1" s="5"/>
      <c r="N1" s="5"/>
      <c r="O1" s="5"/>
      <c r="P1" s="5"/>
      <c r="Q1" s="6"/>
      <c r="R1" s="7" t="s">
        <v>2</v>
      </c>
      <c r="S1" s="8"/>
      <c r="T1" s="8"/>
      <c r="U1" s="8"/>
      <c r="V1" s="8"/>
      <c r="W1" s="9"/>
      <c r="X1" s="7" t="s">
        <v>3</v>
      </c>
      <c r="Y1" s="8"/>
      <c r="Z1" s="8"/>
      <c r="AA1" s="8"/>
      <c r="AB1" s="8"/>
      <c r="AC1" s="8"/>
    </row>
    <row r="2" spans="1:29" x14ac:dyDescent="0.25">
      <c r="A2" t="s">
        <v>4</v>
      </c>
      <c r="B2" t="s">
        <v>5</v>
      </c>
      <c r="C2" t="s">
        <v>6</v>
      </c>
      <c r="D2" t="s">
        <v>7</v>
      </c>
      <c r="E2" t="s">
        <v>33</v>
      </c>
      <c r="F2" t="s">
        <v>8</v>
      </c>
      <c r="G2" t="s">
        <v>9</v>
      </c>
      <c r="H2" t="s">
        <v>10</v>
      </c>
      <c r="I2" t="s">
        <v>11</v>
      </c>
      <c r="J2" t="s">
        <v>12</v>
      </c>
      <c r="K2" t="s">
        <v>13</v>
      </c>
      <c r="L2" t="s">
        <v>14</v>
      </c>
      <c r="M2" t="s">
        <v>15</v>
      </c>
      <c r="N2" t="s">
        <v>16</v>
      </c>
      <c r="O2" t="s">
        <v>17</v>
      </c>
      <c r="P2" t="s">
        <v>18</v>
      </c>
      <c r="Q2" t="s">
        <v>19</v>
      </c>
      <c r="R2" t="s">
        <v>20</v>
      </c>
      <c r="S2" t="s">
        <v>21</v>
      </c>
      <c r="T2" t="s">
        <v>22</v>
      </c>
      <c r="U2" t="s">
        <v>23</v>
      </c>
      <c r="V2" t="s">
        <v>24</v>
      </c>
      <c r="W2" t="s">
        <v>25</v>
      </c>
      <c r="X2" t="s">
        <v>26</v>
      </c>
      <c r="Y2" t="s">
        <v>27</v>
      </c>
      <c r="Z2" t="s">
        <v>28</v>
      </c>
      <c r="AA2" t="s">
        <v>29</v>
      </c>
      <c r="AB2" t="s">
        <v>30</v>
      </c>
      <c r="AC2" t="s">
        <v>31</v>
      </c>
    </row>
    <row r="3" spans="1:29" x14ac:dyDescent="0.25">
      <c r="A3" t="s">
        <v>32</v>
      </c>
      <c r="B3">
        <v>49.087474999999998</v>
      </c>
      <c r="C3">
        <v>-118.972415</v>
      </c>
      <c r="D3" s="1">
        <v>45554.533333333333</v>
      </c>
      <c r="E3" s="1">
        <v>45554.729166666664</v>
      </c>
      <c r="F3" t="s">
        <v>35</v>
      </c>
      <c r="G3">
        <v>72</v>
      </c>
      <c r="H3" s="1">
        <v>45554.660520833335</v>
      </c>
      <c r="I3" t="s">
        <v>74</v>
      </c>
      <c r="J3" s="1">
        <v>45554.68172453704</v>
      </c>
      <c r="K3" t="s">
        <v>73</v>
      </c>
      <c r="L3" s="1">
        <f>MROUND(Table1[[#This Row],[Reported Ingition Time]],"1:00")</f>
        <v>45554.541666666664</v>
      </c>
      <c r="M3">
        <v>2</v>
      </c>
      <c r="N3">
        <v>292.5</v>
      </c>
      <c r="O3">
        <v>45</v>
      </c>
      <c r="P3">
        <v>19.5</v>
      </c>
      <c r="Q3">
        <v>0</v>
      </c>
      <c r="R3" s="1">
        <f>Table1[[#This Row],[Rounded Time 1]]+TIME(1,0,0)</f>
        <v>45554.583333333328</v>
      </c>
      <c r="S3">
        <v>6</v>
      </c>
      <c r="T3">
        <v>202.5</v>
      </c>
      <c r="U3">
        <v>27</v>
      </c>
      <c r="V3">
        <v>22</v>
      </c>
      <c r="W3">
        <v>0</v>
      </c>
      <c r="X3" s="1">
        <f>Table1[[#This Row],[Rounded Time 2]]+TIME(1,0,0)</f>
        <v>45554.624999999993</v>
      </c>
      <c r="Y3">
        <v>4</v>
      </c>
      <c r="Z3">
        <v>22.5</v>
      </c>
      <c r="AA3">
        <v>35</v>
      </c>
      <c r="AB3">
        <v>20.5</v>
      </c>
      <c r="AC3">
        <v>0</v>
      </c>
    </row>
  </sheetData>
  <mergeCells count="5">
    <mergeCell ref="A1:G1"/>
    <mergeCell ref="H1:K1"/>
    <mergeCell ref="L1:Q1"/>
    <mergeCell ref="R1:W1"/>
    <mergeCell ref="X1:AC1"/>
  </mergeCells>
  <pageMargins left="0.7" right="0.7" top="0.75" bottom="0.75" header="0.3" footer="0.3"/>
  <legacy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501520-612F-4E27-BB8C-4202957C96D2}">
  <dimension ref="A1:B17"/>
  <sheetViews>
    <sheetView workbookViewId="0">
      <selection activeCell="E8" sqref="E8"/>
    </sheetView>
  </sheetViews>
  <sheetFormatPr defaultRowHeight="15" x14ac:dyDescent="0.25"/>
  <cols>
    <col min="2" max="2" width="11.5703125" customWidth="1"/>
  </cols>
  <sheetData>
    <row r="1" spans="1:2" x14ac:dyDescent="0.25">
      <c r="A1" t="s">
        <v>36</v>
      </c>
      <c r="B1" t="s">
        <v>37</v>
      </c>
    </row>
    <row r="2" spans="1:2" x14ac:dyDescent="0.25">
      <c r="A2" t="s">
        <v>38</v>
      </c>
      <c r="B2">
        <v>0</v>
      </c>
    </row>
    <row r="3" spans="1:2" x14ac:dyDescent="0.25">
      <c r="A3" t="s">
        <v>39</v>
      </c>
      <c r="B3">
        <f t="shared" ref="B3:B17" si="0">B2+22.5</f>
        <v>22.5</v>
      </c>
    </row>
    <row r="4" spans="1:2" x14ac:dyDescent="0.25">
      <c r="A4" t="s">
        <v>40</v>
      </c>
      <c r="B4">
        <f t="shared" si="0"/>
        <v>45</v>
      </c>
    </row>
    <row r="5" spans="1:2" x14ac:dyDescent="0.25">
      <c r="A5" t="s">
        <v>41</v>
      </c>
      <c r="B5">
        <f t="shared" si="0"/>
        <v>67.5</v>
      </c>
    </row>
    <row r="6" spans="1:2" x14ac:dyDescent="0.25">
      <c r="A6" t="s">
        <v>42</v>
      </c>
      <c r="B6">
        <f t="shared" si="0"/>
        <v>90</v>
      </c>
    </row>
    <row r="7" spans="1:2" x14ac:dyDescent="0.25">
      <c r="A7" t="s">
        <v>43</v>
      </c>
      <c r="B7">
        <f t="shared" si="0"/>
        <v>112.5</v>
      </c>
    </row>
    <row r="8" spans="1:2" x14ac:dyDescent="0.25">
      <c r="A8" t="s">
        <v>44</v>
      </c>
      <c r="B8">
        <f t="shared" si="0"/>
        <v>135</v>
      </c>
    </row>
    <row r="9" spans="1:2" x14ac:dyDescent="0.25">
      <c r="A9" t="s">
        <v>45</v>
      </c>
      <c r="B9">
        <f t="shared" si="0"/>
        <v>157.5</v>
      </c>
    </row>
    <row r="10" spans="1:2" x14ac:dyDescent="0.25">
      <c r="A10" t="s">
        <v>46</v>
      </c>
      <c r="B10">
        <f t="shared" si="0"/>
        <v>180</v>
      </c>
    </row>
    <row r="11" spans="1:2" x14ac:dyDescent="0.25">
      <c r="A11" t="s">
        <v>47</v>
      </c>
      <c r="B11">
        <f t="shared" si="0"/>
        <v>202.5</v>
      </c>
    </row>
    <row r="12" spans="1:2" x14ac:dyDescent="0.25">
      <c r="A12" t="s">
        <v>48</v>
      </c>
      <c r="B12">
        <f t="shared" si="0"/>
        <v>225</v>
      </c>
    </row>
    <row r="13" spans="1:2" x14ac:dyDescent="0.25">
      <c r="A13" t="s">
        <v>49</v>
      </c>
      <c r="B13">
        <f t="shared" si="0"/>
        <v>247.5</v>
      </c>
    </row>
    <row r="14" spans="1:2" x14ac:dyDescent="0.25">
      <c r="A14" t="s">
        <v>50</v>
      </c>
      <c r="B14">
        <f t="shared" si="0"/>
        <v>270</v>
      </c>
    </row>
    <row r="15" spans="1:2" x14ac:dyDescent="0.25">
      <c r="A15" t="s">
        <v>51</v>
      </c>
      <c r="B15">
        <f t="shared" si="0"/>
        <v>292.5</v>
      </c>
    </row>
    <row r="16" spans="1:2" x14ac:dyDescent="0.25">
      <c r="A16" t="s">
        <v>52</v>
      </c>
      <c r="B16">
        <f t="shared" si="0"/>
        <v>315</v>
      </c>
    </row>
    <row r="17" spans="1:2" x14ac:dyDescent="0.25">
      <c r="A17" t="s">
        <v>53</v>
      </c>
      <c r="B17">
        <f t="shared" si="0"/>
        <v>337.5</v>
      </c>
    </row>
  </sheetData>
  <pageMargins left="0.7" right="0.7" top="0.75" bottom="0.75" header="0.3" footer="0.3"/>
  <ignoredErrors>
    <ignoredError sqref="B2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08C877-FBB2-441F-84F2-54A2BDBE1798}">
  <dimension ref="A1:I11"/>
  <sheetViews>
    <sheetView workbookViewId="0">
      <selection activeCell="G17" sqref="G17"/>
    </sheetView>
  </sheetViews>
  <sheetFormatPr defaultRowHeight="15" x14ac:dyDescent="0.25"/>
  <cols>
    <col min="2" max="2" width="10.85546875" customWidth="1"/>
    <col min="3" max="3" width="11.42578125" customWidth="1"/>
    <col min="4" max="4" width="9.28515625" customWidth="1"/>
    <col min="5" max="5" width="19.140625" customWidth="1"/>
    <col min="6" max="7" width="16.7109375" customWidth="1"/>
    <col min="9" max="9" width="17.85546875" customWidth="1"/>
  </cols>
  <sheetData>
    <row r="1" spans="1:9" x14ac:dyDescent="0.25">
      <c r="A1" t="s">
        <v>54</v>
      </c>
      <c r="B1" t="s">
        <v>55</v>
      </c>
      <c r="C1" t="s">
        <v>56</v>
      </c>
      <c r="D1" t="s">
        <v>57</v>
      </c>
      <c r="E1" t="s">
        <v>58</v>
      </c>
      <c r="F1" t="s">
        <v>59</v>
      </c>
      <c r="G1" t="s">
        <v>75</v>
      </c>
      <c r="H1" t="s">
        <v>60</v>
      </c>
      <c r="I1" t="s">
        <v>61</v>
      </c>
    </row>
    <row r="2" spans="1:9" x14ac:dyDescent="0.25">
      <c r="A2">
        <v>1000</v>
      </c>
      <c r="B2" t="s">
        <v>62</v>
      </c>
      <c r="C2">
        <v>10.7</v>
      </c>
      <c r="D2">
        <v>68.5</v>
      </c>
      <c r="E2" t="s">
        <v>63</v>
      </c>
      <c r="F2" t="s">
        <v>64</v>
      </c>
      <c r="G2" t="e">
        <f>VLOOKUP(Table3[[#This Row],[Wind Direction]],Table2[],2,FALSE)</f>
        <v>#N/A</v>
      </c>
      <c r="H2" t="s">
        <v>64</v>
      </c>
      <c r="I2" s="2">
        <v>0.5</v>
      </c>
    </row>
    <row r="3" spans="1:9" x14ac:dyDescent="0.25">
      <c r="A3">
        <v>1100</v>
      </c>
      <c r="B3" t="s">
        <v>65</v>
      </c>
      <c r="C3">
        <v>15.5</v>
      </c>
      <c r="D3">
        <v>58.2</v>
      </c>
      <c r="E3">
        <v>2</v>
      </c>
      <c r="F3" t="s">
        <v>51</v>
      </c>
      <c r="G3">
        <f>VLOOKUP(Table3[[#This Row],[Wind Direction]],Table2[],2,FALSE)</f>
        <v>292.5</v>
      </c>
      <c r="H3" t="s">
        <v>64</v>
      </c>
      <c r="I3" s="2">
        <v>0.4</v>
      </c>
    </row>
    <row r="4" spans="1:9" x14ac:dyDescent="0.25">
      <c r="A4">
        <v>1200</v>
      </c>
      <c r="B4" t="s">
        <v>66</v>
      </c>
      <c r="C4">
        <v>16.3</v>
      </c>
      <c r="D4">
        <v>52.6</v>
      </c>
      <c r="E4">
        <v>2</v>
      </c>
      <c r="F4" t="s">
        <v>45</v>
      </c>
      <c r="G4">
        <f>VLOOKUP(Table3[[#This Row],[Wind Direction]],Table2[],2,FALSE)</f>
        <v>157.5</v>
      </c>
      <c r="H4">
        <v>8.5</v>
      </c>
      <c r="I4" s="2">
        <v>0.6</v>
      </c>
    </row>
    <row r="5" spans="1:9" x14ac:dyDescent="0.25">
      <c r="A5">
        <v>1230</v>
      </c>
      <c r="B5" t="s">
        <v>66</v>
      </c>
      <c r="C5">
        <v>19.5</v>
      </c>
      <c r="D5">
        <v>45</v>
      </c>
      <c r="E5">
        <v>3.5</v>
      </c>
      <c r="F5" t="s">
        <v>52</v>
      </c>
      <c r="G5">
        <f>VLOOKUP(Table3[[#This Row],[Wind Direction]],Table2[],2,FALSE)</f>
        <v>315</v>
      </c>
      <c r="H5">
        <v>7</v>
      </c>
      <c r="I5" s="2">
        <v>0.6</v>
      </c>
    </row>
    <row r="6" spans="1:9" x14ac:dyDescent="0.25">
      <c r="A6">
        <v>1300</v>
      </c>
      <c r="B6" t="s">
        <v>66</v>
      </c>
      <c r="C6">
        <v>19.5</v>
      </c>
      <c r="D6">
        <v>45</v>
      </c>
      <c r="E6">
        <v>2</v>
      </c>
      <c r="F6" t="s">
        <v>51</v>
      </c>
      <c r="G6">
        <f>VLOOKUP(Table3[[#This Row],[Wind Direction]],Table2[],2,FALSE)</f>
        <v>292.5</v>
      </c>
      <c r="H6">
        <v>8.5</v>
      </c>
      <c r="I6" s="2">
        <v>0.4</v>
      </c>
    </row>
    <row r="7" spans="1:9" x14ac:dyDescent="0.25">
      <c r="A7">
        <v>1330</v>
      </c>
      <c r="B7" t="s">
        <v>67</v>
      </c>
      <c r="C7">
        <v>22.6</v>
      </c>
      <c r="D7">
        <v>37</v>
      </c>
      <c r="E7">
        <v>4.5</v>
      </c>
      <c r="F7" t="s">
        <v>48</v>
      </c>
      <c r="G7">
        <f>VLOOKUP(Table3[[#This Row],[Wind Direction]],Table2[],2,FALSE)</f>
        <v>225</v>
      </c>
      <c r="H7">
        <v>20</v>
      </c>
      <c r="I7" s="2">
        <v>0.6</v>
      </c>
    </row>
    <row r="8" spans="1:9" x14ac:dyDescent="0.25">
      <c r="A8">
        <v>1400</v>
      </c>
      <c r="B8" t="s">
        <v>68</v>
      </c>
      <c r="C8">
        <v>22</v>
      </c>
      <c r="D8">
        <v>27</v>
      </c>
      <c r="E8" t="s">
        <v>69</v>
      </c>
      <c r="F8" t="s">
        <v>47</v>
      </c>
      <c r="G8">
        <f>VLOOKUP(Table3[[#This Row],[Wind Direction]],Table2[],2,FALSE)</f>
        <v>202.5</v>
      </c>
      <c r="H8" t="s">
        <v>70</v>
      </c>
      <c r="I8" s="2">
        <v>0.3</v>
      </c>
    </row>
    <row r="9" spans="1:9" x14ac:dyDescent="0.25">
      <c r="A9">
        <v>1500</v>
      </c>
      <c r="B9" t="s">
        <v>71</v>
      </c>
      <c r="C9">
        <v>20.5</v>
      </c>
      <c r="D9">
        <v>35</v>
      </c>
      <c r="E9">
        <v>4</v>
      </c>
      <c r="F9" t="s">
        <v>39</v>
      </c>
      <c r="G9">
        <f>VLOOKUP(Table3[[#This Row],[Wind Direction]],Table2[],2,FALSE)</f>
        <v>22.5</v>
      </c>
      <c r="H9">
        <v>6</v>
      </c>
      <c r="I9" s="2">
        <v>0.8</v>
      </c>
    </row>
    <row r="10" spans="1:9" x14ac:dyDescent="0.25">
      <c r="A10">
        <v>1600</v>
      </c>
      <c r="B10" t="s">
        <v>65</v>
      </c>
      <c r="C10">
        <v>21</v>
      </c>
      <c r="D10">
        <v>32</v>
      </c>
      <c r="E10">
        <v>3</v>
      </c>
      <c r="F10" t="s">
        <v>47</v>
      </c>
      <c r="G10">
        <f>VLOOKUP(Table3[[#This Row],[Wind Direction]],Table2[],2,FALSE)</f>
        <v>202.5</v>
      </c>
      <c r="H10">
        <v>8</v>
      </c>
      <c r="I10" s="2">
        <v>0.8</v>
      </c>
    </row>
    <row r="11" spans="1:9" x14ac:dyDescent="0.25">
      <c r="A11">
        <v>1700</v>
      </c>
      <c r="B11" t="s">
        <v>72</v>
      </c>
      <c r="C11">
        <v>22.7</v>
      </c>
      <c r="D11">
        <v>28.5</v>
      </c>
      <c r="E11">
        <v>1.5</v>
      </c>
      <c r="F11" t="s">
        <v>49</v>
      </c>
      <c r="G11">
        <f>VLOOKUP(Table3[[#This Row],[Wind Direction]],Table2[],2,FALSE)</f>
        <v>247.5</v>
      </c>
      <c r="H11">
        <v>5</v>
      </c>
      <c r="I11" s="2">
        <v>0.1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Main</vt:lpstr>
      <vt:lpstr>Compass Converter</vt:lpstr>
      <vt:lpstr>Weather Full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Jackson P@ADM(DRDC) DRDSS@Defence365</dc:creator>
  <cp:lastModifiedBy>Jackson P@ADM(DRDC) DRDSS@Defence365</cp:lastModifiedBy>
  <dcterms:created xsi:type="dcterms:W3CDTF">2024-11-05T14:20:25Z</dcterms:created>
  <dcterms:modified xsi:type="dcterms:W3CDTF">2024-11-25T14:46:24Z</dcterms:modified>
</cp:coreProperties>
</file>